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aadorador_ucsd_edu/Documents/"/>
    </mc:Choice>
  </mc:AlternateContent>
  <xr:revisionPtr revIDLastSave="0" documentId="8_{42C9C19E-2247-470D-A20A-21756AF3B559}" xr6:coauthVersionLast="47" xr6:coauthVersionMax="47" xr10:uidLastSave="{00000000-0000-0000-0000-000000000000}"/>
  <bookViews>
    <workbookView xWindow="2110" yWindow="2170" windowWidth="22540" windowHeight="14300" xr2:uid="{29E2E62C-D480-438F-92D8-76E006E56579}"/>
  </bookViews>
  <sheets>
    <sheet name="aadoradorLab4" sheetId="1" r:id="rId1"/>
    <sheet name="Pivot Table" sheetId="2" r:id="rId2"/>
    <sheet name="Totals Chart" sheetId="3" r:id="rId3"/>
  </sheets>
  <definedNames>
    <definedName name="Grades">80</definedName>
    <definedName name="MaxScore">80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9" i="2"/>
  <c r="B36" i="2"/>
  <c r="B35" i="2"/>
  <c r="B34" i="2"/>
  <c r="B32" i="2"/>
  <c r="B33" i="2"/>
  <c r="B29" i="2"/>
  <c r="B30" i="2"/>
  <c r="B31" i="2"/>
  <c r="B26" i="2"/>
  <c r="B27" i="2"/>
  <c r="B28" i="2"/>
  <c r="B24" i="2"/>
  <c r="B25" i="2"/>
  <c r="B22" i="2"/>
  <c r="B23" i="2"/>
  <c r="B21" i="2"/>
  <c r="B18" i="2"/>
  <c r="B19" i="2"/>
  <c r="B20" i="2"/>
  <c r="B16" i="2"/>
  <c r="B17" i="2"/>
  <c r="B15" i="2"/>
  <c r="B12" i="2"/>
  <c r="B13" i="2"/>
  <c r="B14" i="2"/>
  <c r="B10" i="2"/>
  <c r="B11" i="2"/>
  <c r="B8" i="2"/>
  <c r="B9" i="2"/>
  <c r="B5" i="2"/>
  <c r="B6" i="2"/>
  <c r="B7" i="2"/>
  <c r="B4" i="2"/>
  <c r="B3" i="2"/>
  <c r="B1" i="2"/>
  <c r="B2" i="2"/>
  <c r="B37" i="2"/>
  <c r="H6" i="1"/>
  <c r="H7" i="1"/>
  <c r="H8" i="1"/>
  <c r="H9" i="1"/>
  <c r="H10" i="1"/>
  <c r="H14" i="1"/>
  <c r="H15" i="1"/>
  <c r="H16" i="1"/>
  <c r="H17" i="1"/>
  <c r="H18" i="1"/>
  <c r="H22" i="1"/>
  <c r="H23" i="1"/>
  <c r="H24" i="1"/>
  <c r="H25" i="1"/>
  <c r="H26" i="1"/>
  <c r="H30" i="1"/>
  <c r="H31" i="1"/>
  <c r="H32" i="1"/>
  <c r="H34" i="1"/>
  <c r="H38" i="1"/>
  <c r="H39" i="1"/>
  <c r="H40" i="1"/>
  <c r="H2" i="1"/>
  <c r="I2" i="1"/>
  <c r="I6" i="1"/>
  <c r="I7" i="1"/>
  <c r="I8" i="1"/>
  <c r="I9" i="1"/>
  <c r="I10" i="1"/>
  <c r="I14" i="1"/>
  <c r="I15" i="1"/>
  <c r="I16" i="1"/>
  <c r="I17" i="1"/>
  <c r="I18" i="1"/>
  <c r="I22" i="1"/>
  <c r="I23" i="1"/>
  <c r="I24" i="1"/>
  <c r="I25" i="1"/>
  <c r="I26" i="1"/>
  <c r="I30" i="1"/>
  <c r="I31" i="1"/>
  <c r="I32" i="1"/>
  <c r="I34" i="1"/>
  <c r="I38" i="1"/>
  <c r="I39" i="1"/>
  <c r="I40" i="1"/>
  <c r="D45" i="1"/>
  <c r="E45" i="1"/>
  <c r="F45" i="1"/>
  <c r="C45" i="1"/>
  <c r="D44" i="1"/>
  <c r="E44" i="1"/>
  <c r="F44" i="1"/>
  <c r="C44" i="1"/>
  <c r="D43" i="1"/>
  <c r="E43" i="1"/>
  <c r="F43" i="1"/>
  <c r="C43" i="1"/>
  <c r="D42" i="1"/>
  <c r="E42" i="1"/>
  <c r="F42" i="1"/>
  <c r="C42" i="1"/>
  <c r="G33" i="1"/>
  <c r="H33" i="1" s="1"/>
  <c r="G3" i="1"/>
  <c r="H3" i="1" s="1"/>
  <c r="G4" i="1"/>
  <c r="H4" i="1" s="1"/>
  <c r="G5" i="1"/>
  <c r="H5" i="1" s="1"/>
  <c r="G6" i="1"/>
  <c r="G7" i="1"/>
  <c r="G8" i="1"/>
  <c r="G9" i="1"/>
  <c r="G10" i="1"/>
  <c r="G11" i="1"/>
  <c r="H11" i="1" s="1"/>
  <c r="G12" i="1"/>
  <c r="H12" i="1" s="1"/>
  <c r="G13" i="1"/>
  <c r="H13" i="1" s="1"/>
  <c r="G14" i="1"/>
  <c r="G15" i="1"/>
  <c r="G16" i="1"/>
  <c r="G17" i="1"/>
  <c r="G18" i="1"/>
  <c r="G19" i="1"/>
  <c r="H19" i="1" s="1"/>
  <c r="G20" i="1"/>
  <c r="H20" i="1" s="1"/>
  <c r="G21" i="1"/>
  <c r="H21" i="1" s="1"/>
  <c r="G22" i="1"/>
  <c r="G23" i="1"/>
  <c r="G24" i="1"/>
  <c r="G25" i="1"/>
  <c r="G26" i="1"/>
  <c r="G27" i="1"/>
  <c r="H27" i="1" s="1"/>
  <c r="G28" i="1"/>
  <c r="H28" i="1" s="1"/>
  <c r="G29" i="1"/>
  <c r="H29" i="1" s="1"/>
  <c r="G30" i="1"/>
  <c r="G31" i="1"/>
  <c r="G32" i="1"/>
  <c r="G34" i="1"/>
  <c r="G35" i="1"/>
  <c r="H35" i="1" s="1"/>
  <c r="G36" i="1"/>
  <c r="H36" i="1" s="1"/>
  <c r="G37" i="1"/>
  <c r="H37" i="1" s="1"/>
  <c r="G38" i="1"/>
  <c r="G39" i="1"/>
  <c r="G40" i="1"/>
  <c r="G2" i="1"/>
  <c r="I33" i="1" l="1"/>
  <c r="I37" i="1"/>
  <c r="I29" i="1"/>
  <c r="I21" i="1"/>
  <c r="I13" i="1"/>
  <c r="I5" i="1"/>
  <c r="I36" i="1"/>
  <c r="I28" i="1"/>
  <c r="I20" i="1"/>
  <c r="I12" i="1"/>
  <c r="I4" i="1"/>
  <c r="I35" i="1"/>
  <c r="I27" i="1"/>
  <c r="I19" i="1"/>
  <c r="I11" i="1"/>
  <c r="I3" i="1"/>
  <c r="G45" i="1"/>
  <c r="G42" i="1"/>
  <c r="G43" i="1"/>
  <c r="G44" i="1"/>
</calcChain>
</file>

<file path=xl/sharedStrings.xml><?xml version="1.0" encoding="utf-8"?>
<sst xmlns="http://schemas.openxmlformats.org/spreadsheetml/2006/main" count="138" uniqueCount="98">
  <si>
    <t>A0011</t>
  </si>
  <si>
    <t>A0024</t>
  </si>
  <si>
    <t>A0036</t>
  </si>
  <si>
    <t>A0032</t>
  </si>
  <si>
    <t>A0002</t>
  </si>
  <si>
    <t>A0041</t>
  </si>
  <si>
    <t>A0031</t>
  </si>
  <si>
    <t>A0012</t>
  </si>
  <si>
    <t>A0033</t>
  </si>
  <si>
    <t>A0020</t>
  </si>
  <si>
    <t>A0022</t>
  </si>
  <si>
    <t>A0005</t>
  </si>
  <si>
    <t>A0008</t>
  </si>
  <si>
    <t>A0030</t>
  </si>
  <si>
    <t>A0027</t>
  </si>
  <si>
    <t>A0029</t>
  </si>
  <si>
    <t>A0018</t>
  </si>
  <si>
    <t>A0037</t>
  </si>
  <si>
    <t>A0023</t>
  </si>
  <si>
    <t>A0019</t>
  </si>
  <si>
    <t>A0009</t>
  </si>
  <si>
    <t>A0007</t>
  </si>
  <si>
    <t>A0035</t>
  </si>
  <si>
    <t>A0038</t>
  </si>
  <si>
    <t>A0034</t>
  </si>
  <si>
    <t>A0003</t>
  </si>
  <si>
    <t>A0010</t>
  </si>
  <si>
    <t>A0013</t>
  </si>
  <si>
    <t>A0006</t>
  </si>
  <si>
    <t>A0004</t>
  </si>
  <si>
    <t>A0028</t>
  </si>
  <si>
    <t>A0026</t>
  </si>
  <si>
    <t>A0025</t>
  </si>
  <si>
    <t>A0016</t>
  </si>
  <si>
    <t>A0015</t>
  </si>
  <si>
    <t>A0017</t>
  </si>
  <si>
    <t>A0014</t>
  </si>
  <si>
    <t>A0001</t>
  </si>
  <si>
    <t>A0021</t>
  </si>
  <si>
    <t>Student ID</t>
  </si>
  <si>
    <t>Quiz 1</t>
  </si>
  <si>
    <t>Quiz 2</t>
  </si>
  <si>
    <t>Quiz 3</t>
  </si>
  <si>
    <t>Quiz 4</t>
  </si>
  <si>
    <t>Bart Simpson</t>
  </si>
  <si>
    <t>Lisa Simpson</t>
  </si>
  <si>
    <t>Montgomery Burns</t>
  </si>
  <si>
    <t>Cecil Terwilliger</t>
  </si>
  <si>
    <t>Selma Bouvier</t>
  </si>
  <si>
    <t>Beatrice Simmons</t>
  </si>
  <si>
    <t>Ned Flanders</t>
  </si>
  <si>
    <t>Nelsen Hunts</t>
  </si>
  <si>
    <t>Maude Flanders</t>
  </si>
  <si>
    <t>Edna Krabappel</t>
  </si>
  <si>
    <t>Jebi Springfeld</t>
  </si>
  <si>
    <t>Otto Manns</t>
  </si>
  <si>
    <t>Cornelius Talmadge</t>
  </si>
  <si>
    <t>Clancy Wiggum</t>
  </si>
  <si>
    <t>Patty Bouvier</t>
  </si>
  <si>
    <t>Kent Brocmann</t>
  </si>
  <si>
    <t>Herbert Powel</t>
  </si>
  <si>
    <t>Hans Molemen</t>
  </si>
  <si>
    <t>Martin Princess</t>
  </si>
  <si>
    <t>Janey Hagstreem</t>
  </si>
  <si>
    <t>Seymour Skiner</t>
  </si>
  <si>
    <t>Ralph Wiggum</t>
  </si>
  <si>
    <t>Todd Flanders</t>
  </si>
  <si>
    <t>Apu Nahasapeemapetilon</t>
  </si>
  <si>
    <t>Troy McClure</t>
  </si>
  <si>
    <t>Dewey Largoon</t>
  </si>
  <si>
    <t>Nick Rivera</t>
  </si>
  <si>
    <t>Krusty Clown</t>
  </si>
  <si>
    <t>Joseph Quimbey</t>
  </si>
  <si>
    <t>Elizabeth Hoover</t>
  </si>
  <si>
    <t>Alison Taylor</t>
  </si>
  <si>
    <t>Barney Gumbell</t>
  </si>
  <si>
    <t>Waylend Smithers</t>
  </si>
  <si>
    <t>Silvia Winfield</t>
  </si>
  <si>
    <t>Rod Flanders</t>
  </si>
  <si>
    <t>Manjulla Nahasapeemapetilon</t>
  </si>
  <si>
    <t>Langdon Alger</t>
  </si>
  <si>
    <t>Samantha Stanky</t>
  </si>
  <si>
    <t>Homer Simpson</t>
  </si>
  <si>
    <t>Student Names</t>
  </si>
  <si>
    <t>Totals</t>
  </si>
  <si>
    <t>stdev</t>
  </si>
  <si>
    <t>Average - Rows</t>
  </si>
  <si>
    <t>Average - Count</t>
  </si>
  <si>
    <t>Average - Built in</t>
  </si>
  <si>
    <t>P/NP</t>
  </si>
  <si>
    <t>Grades</t>
  </si>
  <si>
    <t>F</t>
  </si>
  <si>
    <t>C</t>
  </si>
  <si>
    <t>A</t>
  </si>
  <si>
    <t>B</t>
  </si>
  <si>
    <t>Row Labels</t>
  </si>
  <si>
    <t>Grand Total</t>
  </si>
  <si>
    <t>Count of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</si>
</sst>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Final Percentages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val>
            <c:numRef>
              <c:f>'Pivot Table'!$B$1:$B$39</c:f>
              <c:numCache>
                <c:formatCode>General</c:formatCode>
                <c:ptCount val="39"/>
                <c:pt idx="0">
                  <c:v>98.75</c:v>
                </c:pt>
                <c:pt idx="1">
                  <c:v>98.75</c:v>
                </c:pt>
                <c:pt idx="2">
                  <c:v>96.25</c:v>
                </c:pt>
                <c:pt idx="3">
                  <c:v>95</c:v>
                </c:pt>
                <c:pt idx="4">
                  <c:v>92.5</c:v>
                </c:pt>
                <c:pt idx="5">
                  <c:v>92.5</c:v>
                </c:pt>
                <c:pt idx="6">
                  <c:v>92.5</c:v>
                </c:pt>
                <c:pt idx="7">
                  <c:v>91.25</c:v>
                </c:pt>
                <c:pt idx="8">
                  <c:v>91.25</c:v>
                </c:pt>
                <c:pt idx="9">
                  <c:v>90</c:v>
                </c:pt>
                <c:pt idx="10">
                  <c:v>90</c:v>
                </c:pt>
                <c:pt idx="11">
                  <c:v>88.75</c:v>
                </c:pt>
                <c:pt idx="12">
                  <c:v>88.75</c:v>
                </c:pt>
                <c:pt idx="13">
                  <c:v>88.75</c:v>
                </c:pt>
                <c:pt idx="14">
                  <c:v>87.5</c:v>
                </c:pt>
                <c:pt idx="15">
                  <c:v>86.25</c:v>
                </c:pt>
                <c:pt idx="16">
                  <c:v>86.25</c:v>
                </c:pt>
                <c:pt idx="17">
                  <c:v>83.75</c:v>
                </c:pt>
                <c:pt idx="18">
                  <c:v>83.75</c:v>
                </c:pt>
                <c:pt idx="19">
                  <c:v>83.75</c:v>
                </c:pt>
                <c:pt idx="20">
                  <c:v>78.75</c:v>
                </c:pt>
                <c:pt idx="21">
                  <c:v>77.5</c:v>
                </c:pt>
                <c:pt idx="22">
                  <c:v>77.5</c:v>
                </c:pt>
                <c:pt idx="23">
                  <c:v>76.25</c:v>
                </c:pt>
                <c:pt idx="24">
                  <c:v>76.25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73.75</c:v>
                </c:pt>
                <c:pt idx="29">
                  <c:v>73.75</c:v>
                </c:pt>
                <c:pt idx="30">
                  <c:v>73.75</c:v>
                </c:pt>
                <c:pt idx="31">
                  <c:v>72.5</c:v>
                </c:pt>
                <c:pt idx="32">
                  <c:v>72.5</c:v>
                </c:pt>
                <c:pt idx="33">
                  <c:v>66.25</c:v>
                </c:pt>
                <c:pt idx="34">
                  <c:v>62.5</c:v>
                </c:pt>
                <c:pt idx="35">
                  <c:v>61.250000000000007</c:v>
                </c:pt>
                <c:pt idx="36">
                  <c:v>57.499999999999993</c:v>
                </c:pt>
                <c:pt idx="37">
                  <c:v>57.499999999999993</c:v>
                </c:pt>
                <c:pt idx="38">
                  <c:v>57.499999999999993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DB0-B621-73A7B90C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0"/>
        <c:axId val="57603872"/>
        <c:axId val="57595232"/>
      </c:barChart>
      <c:catAx>
        <c:axId val="5760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5232"/>
        <c:crosses val="autoZero"/>
        <c:auto val="0"/>
        <c:lblAlgn val="ctr"/>
        <c:lblOffset val="100"/>
        <c:tickLblSkip val="1"/>
        <c:noMultiLvlLbl val="0"/>
      </c:catAx>
      <c:valAx>
        <c:axId val="575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[aadoradorCOGS3Lab4.xlsx]Totals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Chart'!$D$2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Chart'!$C$3:$C$7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F</c:v>
                </c:pt>
              </c:strCache>
            </c:strRef>
          </c:cat>
          <c:val>
            <c:numRef>
              <c:f>'Totals Chart'!$D$3:$D$7</c:f>
              <c:numCache>
                <c:formatCode>0.00%</c:formatCode>
                <c:ptCount val="4"/>
                <c:pt idx="0">
                  <c:v>0.28205128205128205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5-4C7C-AF15-CF4A75938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10224"/>
        <c:axId val="61616944"/>
      </c:barChart>
      <c:catAx>
        <c:axId val="6161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6944"/>
        <c:crosses val="autoZero"/>
        <c:auto val="1"/>
        <c:lblAlgn val="ctr"/>
        <c:lblOffset val="100"/>
        <c:noMultiLvlLbl val="0"/>
      </c:catAx>
      <c:valAx>
        <c:axId val="616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[aadoradorCOGS3Lab4.xlsx]Totals Chart!PivotTable3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'Totals Chart'!$D$2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'Totals Chart'!$C$3:$C$7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F</c:v>
                </c:pt>
              </c:strCache>
            </c:strRef>
          </c:cat>
          <c:val>
            <c:numRef>
              <c:f>'Totals Chart'!$D$3:$D$7</c:f>
              <c:numCache>
                <c:formatCode>0.00%</c:formatCode>
                <c:ptCount val="4"/>
                <c:pt idx="0">
                  <c:v>0.28205128205128205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9-4007-8D66-1695721F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384175</xdr:colOff>
      <xdr:row>14</xdr:row>
      <xdr:rowOff>15875</xdr:rowOff>
    </xdr:from>
    <xdr:to>
      <xdr:col>15</xdr:col>
      <xdr:colOff>79375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9081A-E0EC-AACA-DF73-7E0C29754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19</xdr:row>
      <xdr:rowOff>34925</xdr:rowOff>
    </xdr:from>
    <xdr:to>
      <xdr:col>12</xdr:col>
      <xdr:colOff>549275</xdr:colOff>
      <xdr:row>34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68477-56E9-9B8F-2EEE-B5AF4C92E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241300</xdr:colOff>
      <xdr:row>2</xdr:row>
      <xdr:rowOff>149225</xdr:rowOff>
    </xdr:from>
    <xdr:to>
      <xdr:col>12</xdr:col>
      <xdr:colOff>546100</xdr:colOff>
      <xdr:row>17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2F60F-E0FA-9AB5-FCC6-5F1BF148D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ne Adorador" refreshedDate="45964.894753703702" createdVersion="8" refreshedVersion="8" minRefreshableVersion="3" recordCount="39" xr:uid="{C4744904-5889-4DC1-9049-60FC787D0219}">
  <cacheSource type="worksheet">
    <worksheetSource ref="A1:A40" sheet="Totals Chart"/>
  </cacheSource>
  <cacheFields count="1">
    <cacheField name="Grades" numFmtId="0">
      <sharedItems count="4">
        <s v="F"/>
        <s v="C"/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</r>
  <r>
    <x v="1"/>
  </r>
  <r>
    <x v="2"/>
  </r>
  <r>
    <x v="3"/>
  </r>
  <r>
    <x v="1"/>
  </r>
  <r>
    <x v="2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0"/>
  </r>
  <r>
    <x v="3"/>
  </r>
  <r>
    <x v="2"/>
  </r>
  <r>
    <x v="1"/>
  </r>
  <r>
    <x v="1"/>
  </r>
  <r>
    <x v="3"/>
  </r>
  <r>
    <x v="1"/>
  </r>
  <r>
    <x v="1"/>
  </r>
  <r>
    <x v="3"/>
  </r>
  <r>
    <x v="3"/>
  </r>
  <r>
    <x v="2"/>
  </r>
  <r>
    <x v="1"/>
  </r>
  <r>
    <x v="2"/>
  </r>
  <r>
    <x v="1"/>
  </r>
  <r>
    <x v="3"/>
  </r>
  <r>
    <x v="3"/>
  </r>
  <r>
    <x v="3"/>
  </r>
  <r>
    <x v="2"/>
  </r>
  <r>
    <x v="2"/>
  </r>
  <r>
    <x v="2"/>
  </r>
  <r>
    <x v="2"/>
  </r>
  <r>
    <x v="3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C9E73-7E0D-4BFE-8563-D7484F723B6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2:D7" firstHeaderRow="1" firstDataRow="1" firstDataCol="1"/>
  <pivotFields count="1">
    <pivotField axis="axisRow" dataField="1" showAll="0">
      <items count="5">
        <item x="2"/>
        <item x="3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rades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3DF-A06F-419D-8162-3AEB2A661117}">
  <dimension ref="A1:J45"/>
  <sheetViews>
    <sheetView tabSelected="1" workbookViewId="0">
      <selection activeCell="B20" sqref="B20"/>
    </sheetView>
  </sheetViews>
  <sheetFormatPr defaultRowHeight="14.5"/>
  <sheetData>
    <row r="1" spans="1:10">
      <c r="A1" t="s">
        <v>83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84</v>
      </c>
      <c r="H1" t="s">
        <v>89</v>
      </c>
      <c r="I1" t="s">
        <v>90</v>
      </c>
      <c r="J1">
        <v>80</v>
      </c>
    </row>
    <row r="2" spans="1:10">
      <c r="A2" s="1" t="s">
        <v>71</v>
      </c>
      <c r="B2" t="s">
        <v>37</v>
      </c>
      <c r="C2">
        <v>13</v>
      </c>
      <c r="D2">
        <v>15</v>
      </c>
      <c r="E2">
        <v>14</v>
      </c>
      <c r="F2">
        <v>11</v>
      </c>
      <c r="G2">
        <f>SUM(C2:F2)</f>
        <v>53</v>
      </c>
      <c r="H2" s="3" t="str">
        <f>IF(G2&gt;MaxScore*70%, "P", "NP")</f>
        <v>NP</v>
      </c>
      <c r="I2" s="3" t="str">
        <f>IF(G2&gt;=MaxScore*70%,IF(G2&gt;=MaxScore*90%,"A",IF(G2&gt;=MaxScore*80%,"B","C")),"F")</f>
        <v>F</v>
      </c>
    </row>
    <row r="3" spans="1:10">
      <c r="A3" s="1" t="s">
        <v>52</v>
      </c>
      <c r="B3" t="s">
        <v>4</v>
      </c>
      <c r="C3">
        <v>15</v>
      </c>
      <c r="D3">
        <v>17</v>
      </c>
      <c r="E3">
        <v>13</v>
      </c>
      <c r="F3">
        <v>15</v>
      </c>
      <c r="G3">
        <f t="shared" ref="G3:G40" si="0">SUM(C3:F3)</f>
        <v>60</v>
      </c>
      <c r="H3" s="3" t="str">
        <f t="shared" ref="H3:H40" si="1">IF(G3&gt;MaxScore*70%, "P", "NP")</f>
        <v>P</v>
      </c>
      <c r="I3" s="3" t="str">
        <f>IF(G3&gt;=MaxScore*70%,IF(G3&gt;=MaxScore*90%,"A",IF(G3&gt;=MaxScore*80%,"B","C")),"F")</f>
        <v>C</v>
      </c>
    </row>
    <row r="4" spans="1:10">
      <c r="A4" s="1" t="s">
        <v>55</v>
      </c>
      <c r="B4" t="s">
        <v>25</v>
      </c>
      <c r="C4">
        <v>17</v>
      </c>
      <c r="D4">
        <v>18</v>
      </c>
      <c r="E4">
        <v>18</v>
      </c>
      <c r="F4">
        <v>19</v>
      </c>
      <c r="G4">
        <f t="shared" si="0"/>
        <v>72</v>
      </c>
      <c r="H4" s="3" t="str">
        <f t="shared" si="1"/>
        <v>P</v>
      </c>
      <c r="I4" s="3" t="str">
        <f>IF(G4&gt;=MaxScore*70%,IF(G4&gt;=MaxScore*90%,"A",IF(G4&gt;=MaxScore*80%,"B","C")),"F")</f>
        <v>A</v>
      </c>
    </row>
    <row r="5" spans="1:10">
      <c r="A5" s="1" t="s">
        <v>54</v>
      </c>
      <c r="B5" t="s">
        <v>29</v>
      </c>
      <c r="C5">
        <v>15</v>
      </c>
      <c r="D5">
        <v>18</v>
      </c>
      <c r="E5">
        <v>20</v>
      </c>
      <c r="F5">
        <v>17</v>
      </c>
      <c r="G5">
        <f t="shared" si="0"/>
        <v>70</v>
      </c>
      <c r="H5" s="3" t="str">
        <f t="shared" si="1"/>
        <v>P</v>
      </c>
      <c r="I5" s="3" t="str">
        <f>IF(G5&gt;=MaxScore*70%,IF(G5&gt;=MaxScore*90%,"A",IF(G5&gt;=MaxScore*80%,"B","C")),"F")</f>
        <v>B</v>
      </c>
    </row>
    <row r="6" spans="1:10">
      <c r="A6" s="1" t="s">
        <v>57</v>
      </c>
      <c r="B6" t="s">
        <v>11</v>
      </c>
      <c r="C6">
        <v>12</v>
      </c>
      <c r="D6">
        <v>17</v>
      </c>
      <c r="E6">
        <v>16</v>
      </c>
      <c r="F6">
        <v>14</v>
      </c>
      <c r="G6">
        <f t="shared" si="0"/>
        <v>59</v>
      </c>
      <c r="H6" s="3" t="str">
        <f t="shared" si="1"/>
        <v>P</v>
      </c>
      <c r="I6" s="3" t="str">
        <f>IF(G6&gt;=MaxScore*70%,IF(G6&gt;=MaxScore*90%,"A",IF(G6&gt;=MaxScore*80%,"B","C")),"F")</f>
        <v>C</v>
      </c>
    </row>
    <row r="7" spans="1:10">
      <c r="A7" s="1" t="s">
        <v>61</v>
      </c>
      <c r="B7" t="s">
        <v>28</v>
      </c>
      <c r="C7">
        <v>19</v>
      </c>
      <c r="D7">
        <v>20</v>
      </c>
      <c r="E7">
        <v>19</v>
      </c>
      <c r="F7">
        <v>19</v>
      </c>
      <c r="G7">
        <f t="shared" si="0"/>
        <v>77</v>
      </c>
      <c r="H7" s="3" t="str">
        <f t="shared" si="1"/>
        <v>P</v>
      </c>
      <c r="I7" s="3" t="str">
        <f>IF(G7&gt;=MaxScore*70%,IF(G7&gt;=MaxScore*90%,"A",IF(G7&gt;=MaxScore*80%,"B","C")),"F")</f>
        <v>A</v>
      </c>
    </row>
    <row r="8" spans="1:10">
      <c r="A8" s="1" t="s">
        <v>58</v>
      </c>
      <c r="B8" t="s">
        <v>21</v>
      </c>
      <c r="C8">
        <v>13</v>
      </c>
      <c r="D8">
        <v>15</v>
      </c>
      <c r="F8">
        <v>18</v>
      </c>
      <c r="G8">
        <f t="shared" si="0"/>
        <v>46</v>
      </c>
      <c r="H8" s="3" t="str">
        <f t="shared" si="1"/>
        <v>NP</v>
      </c>
      <c r="I8" s="3" t="str">
        <f>IF(G8&gt;=MaxScore*70%,IF(G8&gt;=MaxScore*90%,"A",IF(G8&gt;=MaxScore*80%,"B","C")),"F")</f>
        <v>F</v>
      </c>
    </row>
    <row r="9" spans="1:10">
      <c r="A9" s="1" t="s">
        <v>44</v>
      </c>
      <c r="B9" t="s">
        <v>12</v>
      </c>
      <c r="C9">
        <v>8</v>
      </c>
      <c r="D9">
        <v>15</v>
      </c>
      <c r="E9">
        <v>10</v>
      </c>
      <c r="F9">
        <v>16</v>
      </c>
      <c r="G9">
        <f t="shared" si="0"/>
        <v>49</v>
      </c>
      <c r="H9" s="3" t="str">
        <f t="shared" si="1"/>
        <v>NP</v>
      </c>
      <c r="I9" s="3" t="str">
        <f>IF(G9&gt;=MaxScore*70%,IF(G9&gt;=MaxScore*90%,"A",IF(G9&gt;=MaxScore*80%,"B","C")),"F")</f>
        <v>F</v>
      </c>
    </row>
    <row r="10" spans="1:10">
      <c r="A10" s="1" t="s">
        <v>53</v>
      </c>
      <c r="B10" t="s">
        <v>20</v>
      </c>
      <c r="C10">
        <v>16</v>
      </c>
      <c r="D10">
        <v>18</v>
      </c>
      <c r="E10">
        <v>14</v>
      </c>
      <c r="F10">
        <v>12</v>
      </c>
      <c r="G10">
        <f t="shared" si="0"/>
        <v>60</v>
      </c>
      <c r="H10" s="3" t="str">
        <f t="shared" si="1"/>
        <v>P</v>
      </c>
      <c r="I10" s="3" t="str">
        <f>IF(G10&gt;=MaxScore*70%,IF(G10&gt;=MaxScore*90%,"A",IF(G10&gt;=MaxScore*80%,"B","C")),"F")</f>
        <v>C</v>
      </c>
    </row>
    <row r="11" spans="1:10">
      <c r="A11" s="1" t="s">
        <v>48</v>
      </c>
      <c r="B11" t="s">
        <v>26</v>
      </c>
      <c r="C11">
        <v>14</v>
      </c>
      <c r="D11">
        <v>17</v>
      </c>
      <c r="F11">
        <v>15</v>
      </c>
      <c r="G11">
        <f t="shared" si="0"/>
        <v>46</v>
      </c>
      <c r="H11" s="3" t="str">
        <f t="shared" si="1"/>
        <v>NP</v>
      </c>
      <c r="I11" s="3" t="str">
        <f>IF(G11&gt;=MaxScore*70%,IF(G11&gt;=MaxScore*90%,"A",IF(G11&gt;=MaxScore*80%,"B","C")),"F")</f>
        <v>F</v>
      </c>
    </row>
    <row r="12" spans="1:10">
      <c r="A12" s="1" t="s">
        <v>70</v>
      </c>
      <c r="B12" t="s">
        <v>0</v>
      </c>
      <c r="C12">
        <v>15</v>
      </c>
      <c r="D12">
        <v>17</v>
      </c>
      <c r="E12">
        <v>15</v>
      </c>
      <c r="F12">
        <v>15</v>
      </c>
      <c r="G12">
        <f t="shared" si="0"/>
        <v>62</v>
      </c>
      <c r="H12" s="3" t="str">
        <f t="shared" si="1"/>
        <v>P</v>
      </c>
      <c r="I12" s="3" t="str">
        <f>IF(G12&gt;=MaxScore*70%,IF(G12&gt;=MaxScore*90%,"A",IF(G12&gt;=MaxScore*80%,"B","C")),"F")</f>
        <v>C</v>
      </c>
    </row>
    <row r="13" spans="1:10">
      <c r="A13" s="1" t="s">
        <v>82</v>
      </c>
      <c r="B13" t="s">
        <v>7</v>
      </c>
      <c r="C13">
        <v>20</v>
      </c>
      <c r="D13">
        <v>20</v>
      </c>
      <c r="E13">
        <v>19</v>
      </c>
      <c r="F13">
        <v>20</v>
      </c>
      <c r="G13">
        <f t="shared" si="0"/>
        <v>79</v>
      </c>
      <c r="H13" s="3" t="str">
        <f t="shared" si="1"/>
        <v>P</v>
      </c>
      <c r="I13" s="3" t="str">
        <f>IF(G13&gt;=MaxScore*70%,IF(G13&gt;=MaxScore*90%,"A",IF(G13&gt;=MaxScore*80%,"B","C")),"F")</f>
        <v>A</v>
      </c>
    </row>
    <row r="14" spans="1:10">
      <c r="A14" s="1" t="s">
        <v>50</v>
      </c>
      <c r="B14" t="s">
        <v>27</v>
      </c>
      <c r="C14">
        <v>15</v>
      </c>
      <c r="D14">
        <v>6</v>
      </c>
      <c r="E14">
        <v>17</v>
      </c>
      <c r="F14">
        <v>8</v>
      </c>
      <c r="G14">
        <f t="shared" si="0"/>
        <v>46</v>
      </c>
      <c r="H14" s="3" t="str">
        <f t="shared" si="1"/>
        <v>NP</v>
      </c>
      <c r="I14" s="3" t="str">
        <f>IF(G14&gt;=MaxScore*70%,IF(G14&gt;=MaxScore*90%,"A",IF(G14&gt;=MaxScore*80%,"B","C")),"F")</f>
        <v>F</v>
      </c>
    </row>
    <row r="15" spans="1:10">
      <c r="A15" s="1" t="s">
        <v>75</v>
      </c>
      <c r="B15" t="s">
        <v>36</v>
      </c>
      <c r="C15">
        <v>17</v>
      </c>
      <c r="D15">
        <v>17</v>
      </c>
      <c r="E15">
        <v>12</v>
      </c>
      <c r="F15">
        <v>12</v>
      </c>
      <c r="G15">
        <f t="shared" si="0"/>
        <v>58</v>
      </c>
      <c r="H15" s="3" t="str">
        <f t="shared" si="1"/>
        <v>P</v>
      </c>
      <c r="I15" s="3" t="str">
        <f>IF(G15&gt;=MaxScore*70%,IF(G15&gt;=MaxScore*90%,"A",IF(G15&gt;=MaxScore*80%,"B","C")),"F")</f>
        <v>C</v>
      </c>
    </row>
    <row r="16" spans="1:10">
      <c r="A16" s="1" t="s">
        <v>67</v>
      </c>
      <c r="B16" t="s">
        <v>34</v>
      </c>
      <c r="C16">
        <v>15</v>
      </c>
      <c r="D16">
        <v>13</v>
      </c>
      <c r="E16">
        <v>18</v>
      </c>
      <c r="F16">
        <v>14</v>
      </c>
      <c r="G16">
        <f t="shared" si="0"/>
        <v>60</v>
      </c>
      <c r="H16" s="3" t="str">
        <f t="shared" si="1"/>
        <v>P</v>
      </c>
      <c r="I16" s="3" t="str">
        <f>IF(G16&gt;=MaxScore*70%,IF(G16&gt;=MaxScore*90%,"A",IF(G16&gt;=MaxScore*80%,"B","C")),"F")</f>
        <v>C</v>
      </c>
    </row>
    <row r="17" spans="1:9">
      <c r="A17" s="1" t="s">
        <v>45</v>
      </c>
      <c r="B17" t="s">
        <v>33</v>
      </c>
      <c r="C17">
        <v>10</v>
      </c>
      <c r="D17">
        <v>19</v>
      </c>
      <c r="E17">
        <v>13</v>
      </c>
      <c r="F17">
        <v>19</v>
      </c>
      <c r="G17">
        <f t="shared" si="0"/>
        <v>61</v>
      </c>
      <c r="H17" s="3" t="str">
        <f t="shared" si="1"/>
        <v>P</v>
      </c>
      <c r="I17" s="3" t="str">
        <f>IF(G17&gt;=MaxScore*70%,IF(G17&gt;=MaxScore*90%,"A",IF(G17&gt;=MaxScore*80%,"B","C")),"F")</f>
        <v>C</v>
      </c>
    </row>
    <row r="18" spans="1:9">
      <c r="A18" s="1" t="s">
        <v>76</v>
      </c>
      <c r="B18" t="s">
        <v>35</v>
      </c>
      <c r="C18">
        <v>11</v>
      </c>
      <c r="D18">
        <v>13</v>
      </c>
      <c r="E18">
        <v>15</v>
      </c>
      <c r="F18">
        <v>11</v>
      </c>
      <c r="G18">
        <f t="shared" si="0"/>
        <v>50</v>
      </c>
      <c r="H18" s="3" t="str">
        <f t="shared" si="1"/>
        <v>NP</v>
      </c>
      <c r="I18" s="3" t="str">
        <f>IF(G18&gt;=MaxScore*70%,IF(G18&gt;=MaxScore*90%,"A",IF(G18&gt;=MaxScore*80%,"B","C")),"F")</f>
        <v>F</v>
      </c>
    </row>
    <row r="19" spans="1:9">
      <c r="A19" s="1" t="s">
        <v>64</v>
      </c>
      <c r="B19" t="s">
        <v>16</v>
      </c>
      <c r="C19">
        <v>17</v>
      </c>
      <c r="D19">
        <v>18</v>
      </c>
      <c r="E19">
        <v>12</v>
      </c>
      <c r="F19">
        <v>20</v>
      </c>
      <c r="G19">
        <f t="shared" si="0"/>
        <v>67</v>
      </c>
      <c r="H19" s="3" t="str">
        <f t="shared" si="1"/>
        <v>P</v>
      </c>
      <c r="I19" s="3" t="str">
        <f>IF(G19&gt;=MaxScore*70%,IF(G19&gt;=MaxScore*90%,"A",IF(G19&gt;=MaxScore*80%,"B","C")),"F")</f>
        <v>B</v>
      </c>
    </row>
    <row r="20" spans="1:9">
      <c r="A20" s="1" t="s">
        <v>59</v>
      </c>
      <c r="B20" t="s">
        <v>19</v>
      </c>
      <c r="C20">
        <v>18</v>
      </c>
      <c r="D20">
        <v>17</v>
      </c>
      <c r="E20">
        <v>17</v>
      </c>
      <c r="F20">
        <v>20</v>
      </c>
      <c r="G20">
        <f t="shared" si="0"/>
        <v>72</v>
      </c>
      <c r="H20" s="3" t="str">
        <f t="shared" si="1"/>
        <v>P</v>
      </c>
      <c r="I20" s="3" t="str">
        <f>IF(G20&gt;=MaxScore*70%,IF(G20&gt;=MaxScore*90%,"A",IF(G20&gt;=MaxScore*80%,"B","C")),"F")</f>
        <v>A</v>
      </c>
    </row>
    <row r="21" spans="1:9">
      <c r="A21" s="1" t="s">
        <v>68</v>
      </c>
      <c r="B21" t="s">
        <v>9</v>
      </c>
      <c r="C21">
        <v>19</v>
      </c>
      <c r="D21">
        <v>12</v>
      </c>
      <c r="E21">
        <v>18</v>
      </c>
      <c r="F21">
        <v>14</v>
      </c>
      <c r="G21">
        <f t="shared" si="0"/>
        <v>63</v>
      </c>
      <c r="H21" s="3" t="str">
        <f t="shared" si="1"/>
        <v>P</v>
      </c>
      <c r="I21" s="3" t="str">
        <f>IF(G21&gt;=MaxScore*70%,IF(G21&gt;=MaxScore*90%,"A",IF(G21&gt;=MaxScore*80%,"B","C")),"F")</f>
        <v>C</v>
      </c>
    </row>
    <row r="22" spans="1:9">
      <c r="A22" s="1" t="s">
        <v>46</v>
      </c>
      <c r="B22" t="s">
        <v>38</v>
      </c>
      <c r="C22">
        <v>10</v>
      </c>
      <c r="D22">
        <v>13</v>
      </c>
      <c r="E22">
        <v>16</v>
      </c>
      <c r="F22">
        <v>19</v>
      </c>
      <c r="G22">
        <f t="shared" si="0"/>
        <v>58</v>
      </c>
      <c r="H22" s="3" t="str">
        <f t="shared" si="1"/>
        <v>P</v>
      </c>
      <c r="I22" s="3" t="str">
        <f>IF(G22&gt;=MaxScore*70%,IF(G22&gt;=MaxScore*90%,"A",IF(G22&gt;=MaxScore*80%,"B","C")),"F")</f>
        <v>C</v>
      </c>
    </row>
    <row r="23" spans="1:9">
      <c r="A23" s="1" t="s">
        <v>72</v>
      </c>
      <c r="B23" t="s">
        <v>10</v>
      </c>
      <c r="C23">
        <v>18</v>
      </c>
      <c r="D23">
        <v>19</v>
      </c>
      <c r="E23">
        <v>17</v>
      </c>
      <c r="F23">
        <v>17</v>
      </c>
      <c r="G23">
        <f t="shared" si="0"/>
        <v>71</v>
      </c>
      <c r="H23" s="3" t="str">
        <f t="shared" si="1"/>
        <v>P</v>
      </c>
      <c r="I23" s="3" t="str">
        <f>IF(G23&gt;=MaxScore*70%,IF(G23&gt;=MaxScore*90%,"A",IF(G23&gt;=MaxScore*80%,"B","C")),"F")</f>
        <v>B</v>
      </c>
    </row>
    <row r="24" spans="1:9">
      <c r="A24" s="1" t="s">
        <v>69</v>
      </c>
      <c r="B24" t="s">
        <v>18</v>
      </c>
      <c r="C24">
        <v>19</v>
      </c>
      <c r="D24">
        <v>13</v>
      </c>
      <c r="E24">
        <v>14</v>
      </c>
      <c r="F24">
        <v>15</v>
      </c>
      <c r="G24">
        <f t="shared" si="0"/>
        <v>61</v>
      </c>
      <c r="H24" s="3" t="str">
        <f t="shared" si="1"/>
        <v>P</v>
      </c>
      <c r="I24" s="3" t="str">
        <f>IF(G24&gt;=MaxScore*70%,IF(G24&gt;=MaxScore*90%,"A",IF(G24&gt;=MaxScore*80%,"B","C")),"F")</f>
        <v>C</v>
      </c>
    </row>
    <row r="25" spans="1:9">
      <c r="A25" s="1" t="s">
        <v>77</v>
      </c>
      <c r="B25" t="s">
        <v>1</v>
      </c>
      <c r="C25">
        <v>13</v>
      </c>
      <c r="D25">
        <v>19</v>
      </c>
      <c r="E25">
        <v>14</v>
      </c>
      <c r="F25">
        <v>13</v>
      </c>
      <c r="G25">
        <f t="shared" si="0"/>
        <v>59</v>
      </c>
      <c r="H25" s="3" t="str">
        <f t="shared" si="1"/>
        <v>P</v>
      </c>
      <c r="I25" s="3" t="str">
        <f>IF(G25&gt;=MaxScore*70%,IF(G25&gt;=MaxScore*90%,"A",IF(G25&gt;=MaxScore*80%,"B","C")),"F")</f>
        <v>C</v>
      </c>
    </row>
    <row r="26" spans="1:9">
      <c r="A26" s="1" t="s">
        <v>66</v>
      </c>
      <c r="B26" t="s">
        <v>32</v>
      </c>
      <c r="C26">
        <v>19</v>
      </c>
      <c r="D26">
        <v>13</v>
      </c>
      <c r="E26">
        <v>17</v>
      </c>
      <c r="F26">
        <v>18</v>
      </c>
      <c r="G26">
        <f t="shared" si="0"/>
        <v>67</v>
      </c>
      <c r="H26" s="3" t="str">
        <f t="shared" si="1"/>
        <v>P</v>
      </c>
      <c r="I26" s="3" t="str">
        <f>IF(G26&gt;=MaxScore*70%,IF(G26&gt;=MaxScore*90%,"A",IF(G26&gt;=MaxScore*80%,"B","C")),"F")</f>
        <v>B</v>
      </c>
    </row>
    <row r="27" spans="1:9">
      <c r="A27" s="1" t="s">
        <v>49</v>
      </c>
      <c r="B27" t="s">
        <v>31</v>
      </c>
      <c r="C27">
        <v>13</v>
      </c>
      <c r="D27">
        <v>19</v>
      </c>
      <c r="E27">
        <v>18</v>
      </c>
      <c r="F27">
        <v>19</v>
      </c>
      <c r="G27">
        <f t="shared" si="0"/>
        <v>69</v>
      </c>
      <c r="H27" s="3" t="str">
        <f t="shared" si="1"/>
        <v>P</v>
      </c>
      <c r="I27" s="3" t="str">
        <f>IF(G27&gt;=MaxScore*70%,IF(G27&gt;=MaxScore*90%,"A",IF(G27&gt;=MaxScore*80%,"B","C")),"F")</f>
        <v>B</v>
      </c>
    </row>
    <row r="28" spans="1:9">
      <c r="A28" s="1" t="s">
        <v>79</v>
      </c>
      <c r="B28" t="s">
        <v>14</v>
      </c>
      <c r="C28">
        <v>16</v>
      </c>
      <c r="D28">
        <v>20</v>
      </c>
      <c r="E28">
        <v>19</v>
      </c>
      <c r="F28">
        <v>19</v>
      </c>
      <c r="G28">
        <f t="shared" si="0"/>
        <v>74</v>
      </c>
      <c r="H28" s="3" t="str">
        <f t="shared" si="1"/>
        <v>P</v>
      </c>
      <c r="I28" s="3" t="str">
        <f>IF(G28&gt;=MaxScore*70%,IF(G28&gt;=MaxScore*90%,"A",IF(G28&gt;=MaxScore*80%,"B","C")),"F")</f>
        <v>A</v>
      </c>
    </row>
    <row r="29" spans="1:9">
      <c r="A29" s="1" t="s">
        <v>63</v>
      </c>
      <c r="B29" t="s">
        <v>30</v>
      </c>
      <c r="C29">
        <v>19</v>
      </c>
      <c r="D29">
        <v>0</v>
      </c>
      <c r="E29">
        <v>20</v>
      </c>
      <c r="F29">
        <v>20</v>
      </c>
      <c r="G29">
        <f t="shared" si="0"/>
        <v>59</v>
      </c>
      <c r="H29" s="3" t="str">
        <f t="shared" si="1"/>
        <v>P</v>
      </c>
      <c r="I29" s="3" t="str">
        <f>IF(G29&gt;=MaxScore*70%,IF(G29&gt;=MaxScore*90%,"A",IF(G29&gt;=MaxScore*80%,"B","C")),"F")</f>
        <v>C</v>
      </c>
    </row>
    <row r="30" spans="1:9">
      <c r="A30" s="1" t="s">
        <v>73</v>
      </c>
      <c r="B30" t="s">
        <v>15</v>
      </c>
      <c r="C30">
        <v>18</v>
      </c>
      <c r="D30">
        <v>19</v>
      </c>
      <c r="E30">
        <v>20</v>
      </c>
      <c r="F30">
        <v>19</v>
      </c>
      <c r="G30">
        <f t="shared" si="0"/>
        <v>76</v>
      </c>
      <c r="H30" s="3" t="str">
        <f t="shared" si="1"/>
        <v>P</v>
      </c>
      <c r="I30" s="3" t="str">
        <f>IF(G30&gt;=MaxScore*70%,IF(G30&gt;=MaxScore*90%,"A",IF(G30&gt;=MaxScore*80%,"B","C")),"F")</f>
        <v>A</v>
      </c>
    </row>
    <row r="31" spans="1:9">
      <c r="A31" s="1" t="s">
        <v>60</v>
      </c>
      <c r="B31" t="s">
        <v>13</v>
      </c>
      <c r="C31">
        <v>13</v>
      </c>
      <c r="D31">
        <v>18</v>
      </c>
      <c r="E31">
        <v>17</v>
      </c>
      <c r="F31">
        <v>14</v>
      </c>
      <c r="G31">
        <f t="shared" si="0"/>
        <v>62</v>
      </c>
      <c r="H31" s="3" t="str">
        <f t="shared" si="1"/>
        <v>P</v>
      </c>
      <c r="I31" s="3" t="str">
        <f>IF(G31&gt;=MaxScore*70%,IF(G31&gt;=MaxScore*90%,"A",IF(G31&gt;=MaxScore*80%,"B","C")),"F")</f>
        <v>C</v>
      </c>
    </row>
    <row r="32" spans="1:9">
      <c r="A32" s="1" t="s">
        <v>51</v>
      </c>
      <c r="B32" t="s">
        <v>6</v>
      </c>
      <c r="C32">
        <v>17</v>
      </c>
      <c r="D32">
        <v>17</v>
      </c>
      <c r="E32">
        <v>18</v>
      </c>
      <c r="F32">
        <v>19</v>
      </c>
      <c r="G32">
        <f t="shared" si="0"/>
        <v>71</v>
      </c>
      <c r="H32" s="3" t="str">
        <f t="shared" si="1"/>
        <v>P</v>
      </c>
      <c r="I32" s="3" t="str">
        <f>IF(G32&gt;=MaxScore*70%,IF(G32&gt;=MaxScore*90%,"A",IF(G32&gt;=MaxScore*80%,"B","C")),"F")</f>
        <v>B</v>
      </c>
    </row>
    <row r="33" spans="1:9">
      <c r="A33" s="1" t="s">
        <v>47</v>
      </c>
      <c r="B33" t="s">
        <v>3</v>
      </c>
      <c r="C33">
        <v>19</v>
      </c>
      <c r="D33">
        <v>16</v>
      </c>
      <c r="E33">
        <v>18</v>
      </c>
      <c r="F33">
        <v>18</v>
      </c>
      <c r="G33">
        <f>SUM(C33:F33)</f>
        <v>71</v>
      </c>
      <c r="H33" s="3" t="str">
        <f t="shared" si="1"/>
        <v>P</v>
      </c>
      <c r="I33" s="3" t="str">
        <f>IF(G33&gt;=MaxScore*70%,IF(G33&gt;=MaxScore*90%,"A",IF(G33&gt;=MaxScore*80%,"B","C")),"F")</f>
        <v>B</v>
      </c>
    </row>
    <row r="34" spans="1:9">
      <c r="A34" s="1" t="s">
        <v>81</v>
      </c>
      <c r="B34" t="s">
        <v>8</v>
      </c>
      <c r="C34">
        <v>11</v>
      </c>
      <c r="D34">
        <v>19</v>
      </c>
      <c r="E34">
        <v>19</v>
      </c>
      <c r="F34">
        <v>18</v>
      </c>
      <c r="G34">
        <f t="shared" si="0"/>
        <v>67</v>
      </c>
      <c r="H34" s="3" t="str">
        <f t="shared" si="1"/>
        <v>P</v>
      </c>
      <c r="I34" s="3" t="str">
        <f>IF(G34&gt;=MaxScore*70%,IF(G34&gt;=MaxScore*90%,"A",IF(G34&gt;=MaxScore*80%,"B","C")),"F")</f>
        <v>B</v>
      </c>
    </row>
    <row r="35" spans="1:9">
      <c r="A35" s="1" t="s">
        <v>65</v>
      </c>
      <c r="B35" t="s">
        <v>24</v>
      </c>
      <c r="C35">
        <v>19</v>
      </c>
      <c r="D35">
        <v>16</v>
      </c>
      <c r="E35">
        <v>19</v>
      </c>
      <c r="F35">
        <v>19</v>
      </c>
      <c r="G35">
        <f t="shared" si="0"/>
        <v>73</v>
      </c>
      <c r="H35" s="3" t="str">
        <f t="shared" si="1"/>
        <v>P</v>
      </c>
      <c r="I35" s="3" t="str">
        <f>IF(G35&gt;=MaxScore*70%,IF(G35&gt;=MaxScore*90%,"A",IF(G35&gt;=MaxScore*80%,"B","C")),"F")</f>
        <v>A</v>
      </c>
    </row>
    <row r="36" spans="1:9">
      <c r="A36" s="1" t="s">
        <v>56</v>
      </c>
      <c r="B36" t="s">
        <v>22</v>
      </c>
      <c r="C36">
        <v>16</v>
      </c>
      <c r="D36">
        <v>20</v>
      </c>
      <c r="E36">
        <v>19</v>
      </c>
      <c r="F36">
        <v>19</v>
      </c>
      <c r="G36">
        <f t="shared" si="0"/>
        <v>74</v>
      </c>
      <c r="H36" s="3" t="str">
        <f t="shared" si="1"/>
        <v>P</v>
      </c>
      <c r="I36" s="3" t="str">
        <f>IF(G36&gt;=MaxScore*70%,IF(G36&gt;=MaxScore*90%,"A",IF(G36&gt;=MaxScore*80%,"B","C")),"F")</f>
        <v>A</v>
      </c>
    </row>
    <row r="37" spans="1:9">
      <c r="A37" s="1" t="s">
        <v>78</v>
      </c>
      <c r="B37" t="s">
        <v>2</v>
      </c>
      <c r="C37">
        <v>20</v>
      </c>
      <c r="D37">
        <v>19</v>
      </c>
      <c r="E37">
        <v>20</v>
      </c>
      <c r="F37">
        <v>20</v>
      </c>
      <c r="G37">
        <f t="shared" si="0"/>
        <v>79</v>
      </c>
      <c r="H37" s="3" t="str">
        <f t="shared" si="1"/>
        <v>P</v>
      </c>
      <c r="I37" s="3" t="str">
        <f>IF(G37&gt;=MaxScore*70%,IF(G37&gt;=MaxScore*90%,"A",IF(G37&gt;=MaxScore*80%,"B","C")),"F")</f>
        <v>A</v>
      </c>
    </row>
    <row r="38" spans="1:9">
      <c r="A38" s="1" t="s">
        <v>74</v>
      </c>
      <c r="B38" t="s">
        <v>17</v>
      </c>
      <c r="C38">
        <v>18</v>
      </c>
      <c r="D38">
        <v>19</v>
      </c>
      <c r="E38">
        <v>16</v>
      </c>
      <c r="F38">
        <v>20</v>
      </c>
      <c r="G38">
        <f t="shared" si="0"/>
        <v>73</v>
      </c>
      <c r="H38" s="3" t="str">
        <f t="shared" si="1"/>
        <v>P</v>
      </c>
      <c r="I38" s="3" t="str">
        <f>IF(G38&gt;=MaxScore*70%,IF(G38&gt;=MaxScore*90%,"A",IF(G38&gt;=MaxScore*80%,"B","C")),"F")</f>
        <v>A</v>
      </c>
    </row>
    <row r="39" spans="1:9">
      <c r="A39" s="1" t="s">
        <v>62</v>
      </c>
      <c r="B39" t="s">
        <v>23</v>
      </c>
      <c r="C39">
        <v>16</v>
      </c>
      <c r="D39">
        <v>15</v>
      </c>
      <c r="E39">
        <v>19</v>
      </c>
      <c r="F39">
        <v>19</v>
      </c>
      <c r="G39">
        <f t="shared" si="0"/>
        <v>69</v>
      </c>
      <c r="H39" s="3" t="str">
        <f t="shared" si="1"/>
        <v>P</v>
      </c>
      <c r="I39" s="3" t="str">
        <f>IF(G39&gt;=MaxScore*70%,IF(G39&gt;=MaxScore*90%,"A",IF(G39&gt;=MaxScore*80%,"B","C")),"F")</f>
        <v>B</v>
      </c>
    </row>
    <row r="40" spans="1:9">
      <c r="A40" s="1" t="s">
        <v>80</v>
      </c>
      <c r="B40" t="s">
        <v>5</v>
      </c>
      <c r="C40">
        <v>20</v>
      </c>
      <c r="D40">
        <v>19</v>
      </c>
      <c r="E40">
        <v>19</v>
      </c>
      <c r="F40">
        <v>16</v>
      </c>
      <c r="G40">
        <f t="shared" si="0"/>
        <v>74</v>
      </c>
      <c r="H40" s="3" t="str">
        <f t="shared" si="1"/>
        <v>P</v>
      </c>
      <c r="I40" s="3" t="str">
        <f>IF(G40&gt;=MaxScore*70%,IF(G40&gt;=MaxScore*90%,"A",IF(G40&gt;=MaxScore*80%,"B","C")),"F")</f>
        <v>A</v>
      </c>
    </row>
    <row r="42" spans="1:9">
      <c r="A42" t="s">
        <v>86</v>
      </c>
      <c r="C42">
        <f>SUM(C2:C40)/ROWS(C2:C40)</f>
        <v>15.717948717948717</v>
      </c>
      <c r="D42">
        <f t="shared" ref="D42:G42" si="2">SUM(D2:D40)/ROWS(D2:D40)</f>
        <v>16.282051282051281</v>
      </c>
      <c r="E42">
        <f t="shared" si="2"/>
        <v>15.871794871794872</v>
      </c>
      <c r="F42">
        <f t="shared" si="2"/>
        <v>16.666666666666668</v>
      </c>
      <c r="G42">
        <f t="shared" si="2"/>
        <v>64.538461538461533</v>
      </c>
    </row>
    <row r="43" spans="1:9">
      <c r="A43" t="s">
        <v>87</v>
      </c>
      <c r="C43">
        <f>SUM(C2:C40)/COUNT(C2:C40)</f>
        <v>15.717948717948717</v>
      </c>
      <c r="D43">
        <f>SUM(D2:D40)/COUNT(D2:D40)</f>
        <v>16.282051282051281</v>
      </c>
      <c r="E43">
        <f>SUM(E2:E40)/COUNT(E2:E40)</f>
        <v>16.72972972972973</v>
      </c>
      <c r="F43">
        <f>SUM(F2:F40)/COUNT(F2:F40)</f>
        <v>16.666666666666668</v>
      </c>
      <c r="G43">
        <f>SUM(G2:G40)/COUNT(G2:G40)</f>
        <v>64.538461538461533</v>
      </c>
    </row>
    <row r="44" spans="1:9">
      <c r="A44" t="s">
        <v>88</v>
      </c>
      <c r="C44" s="2">
        <f>AVERAGE(C2:C40)</f>
        <v>15.717948717948717</v>
      </c>
      <c r="D44" s="2">
        <f t="shared" ref="D44:G44" si="3">AVERAGE(D2:D40)</f>
        <v>16.282051282051281</v>
      </c>
      <c r="E44" s="2">
        <f t="shared" si="3"/>
        <v>16.72972972972973</v>
      </c>
      <c r="F44" s="2">
        <f t="shared" si="3"/>
        <v>16.666666666666668</v>
      </c>
      <c r="G44" s="2">
        <f t="shared" si="3"/>
        <v>64.538461538461533</v>
      </c>
    </row>
    <row r="45" spans="1:9">
      <c r="A45" t="s">
        <v>85</v>
      </c>
      <c r="C45" s="2">
        <f>STDEV(C2:C40)</f>
        <v>3.1784530990033648</v>
      </c>
      <c r="D45" s="2">
        <f t="shared" ref="D45:G45" si="4">STDEV(D2:D40)</f>
        <v>3.9400021236216412</v>
      </c>
      <c r="E45" s="2">
        <f t="shared" si="4"/>
        <v>2.6315252088712557</v>
      </c>
      <c r="F45" s="2">
        <f t="shared" si="4"/>
        <v>3.1232012366980557</v>
      </c>
      <c r="G45" s="2">
        <f t="shared" si="4"/>
        <v>9.3719799454099402</v>
      </c>
    </row>
  </sheetData>
  <sortState xmlns:xlrd2="http://schemas.microsoft.com/office/spreadsheetml/2017/richdata2" ref="B2:F41">
    <sortCondition ref="B2:B41"/>
  </sortState>
  <conditionalFormatting sqref="C2:F40">
    <cfRule type="cellIs" dxfId="6" priority="6" operator="lessThan">
      <formula>13</formula>
    </cfRule>
  </conditionalFormatting>
  <conditionalFormatting sqref="A2:A40">
    <cfRule type="expression" dxfId="3" priority="4">
      <formula>$I1048540="A"</formula>
    </cfRule>
    <cfRule type="expression" dxfId="4" priority="3">
      <formula>$I2="A"</formula>
    </cfRule>
    <cfRule type="expression" dxfId="2" priority="1">
      <formula>$I2="F"</formula>
    </cfRule>
  </conditionalFormatting>
  <conditionalFormatting sqref="A1:A1048576">
    <cfRule type="expression" priority="2">
      <formula>"="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5EBA-1E71-4560-BBA2-E0B9C2457762}">
  <dimension ref="A1:B39"/>
  <sheetViews>
    <sheetView workbookViewId="0">
      <selection activeCell="R34" sqref="R34"/>
    </sheetView>
  </sheetViews>
  <sheetFormatPr defaultRowHeight="14.5"/>
  <sheetData>
    <row r="1" spans="1:2">
      <c r="A1">
        <v>79</v>
      </c>
      <c r="B1">
        <f>A1/MaxScore*100</f>
        <v>98.75</v>
      </c>
    </row>
    <row r="2" spans="1:2">
      <c r="A2">
        <v>79</v>
      </c>
      <c r="B2">
        <f>A2/MaxScore*100</f>
        <v>98.75</v>
      </c>
    </row>
    <row r="3" spans="1:2">
      <c r="A3">
        <v>77</v>
      </c>
      <c r="B3">
        <f>A3/MaxScore*100</f>
        <v>96.25</v>
      </c>
    </row>
    <row r="4" spans="1:2">
      <c r="A4">
        <v>76</v>
      </c>
      <c r="B4">
        <f>A4/MaxScore*100</f>
        <v>95</v>
      </c>
    </row>
    <row r="5" spans="1:2">
      <c r="A5">
        <v>74</v>
      </c>
      <c r="B5">
        <f>A5/MaxScore*100</f>
        <v>92.5</v>
      </c>
    </row>
    <row r="6" spans="1:2">
      <c r="A6">
        <v>74</v>
      </c>
      <c r="B6">
        <f>A6/MaxScore*100</f>
        <v>92.5</v>
      </c>
    </row>
    <row r="7" spans="1:2">
      <c r="A7">
        <v>74</v>
      </c>
      <c r="B7">
        <f>A7/MaxScore*100</f>
        <v>92.5</v>
      </c>
    </row>
    <row r="8" spans="1:2">
      <c r="A8">
        <v>73</v>
      </c>
      <c r="B8">
        <f>A8/MaxScore*100</f>
        <v>91.25</v>
      </c>
    </row>
    <row r="9" spans="1:2">
      <c r="A9">
        <v>73</v>
      </c>
      <c r="B9">
        <f>A9/MaxScore*100</f>
        <v>91.25</v>
      </c>
    </row>
    <row r="10" spans="1:2">
      <c r="A10">
        <v>72</v>
      </c>
      <c r="B10">
        <f>A10/MaxScore*100</f>
        <v>90</v>
      </c>
    </row>
    <row r="11" spans="1:2">
      <c r="A11">
        <v>72</v>
      </c>
      <c r="B11">
        <f>A11/MaxScore*100</f>
        <v>90</v>
      </c>
    </row>
    <row r="12" spans="1:2">
      <c r="A12">
        <v>71</v>
      </c>
      <c r="B12">
        <f>A12/MaxScore*100</f>
        <v>88.75</v>
      </c>
    </row>
    <row r="13" spans="1:2">
      <c r="A13">
        <v>71</v>
      </c>
      <c r="B13">
        <f>A13/MaxScore*100</f>
        <v>88.75</v>
      </c>
    </row>
    <row r="14" spans="1:2">
      <c r="A14">
        <v>71</v>
      </c>
      <c r="B14">
        <f>A14/MaxScore*100</f>
        <v>88.75</v>
      </c>
    </row>
    <row r="15" spans="1:2">
      <c r="A15">
        <v>70</v>
      </c>
      <c r="B15">
        <f>A15/MaxScore*100</f>
        <v>87.5</v>
      </c>
    </row>
    <row r="16" spans="1:2">
      <c r="A16">
        <v>69</v>
      </c>
      <c r="B16">
        <f>A16/MaxScore*100</f>
        <v>86.25</v>
      </c>
    </row>
    <row r="17" spans="1:2">
      <c r="A17">
        <v>69</v>
      </c>
      <c r="B17">
        <f>A17/MaxScore*100</f>
        <v>86.25</v>
      </c>
    </row>
    <row r="18" spans="1:2">
      <c r="A18">
        <v>67</v>
      </c>
      <c r="B18">
        <f>A18/MaxScore*100</f>
        <v>83.75</v>
      </c>
    </row>
    <row r="19" spans="1:2">
      <c r="A19">
        <v>67</v>
      </c>
      <c r="B19">
        <f>A19/MaxScore*100</f>
        <v>83.75</v>
      </c>
    </row>
    <row r="20" spans="1:2">
      <c r="A20">
        <v>67</v>
      </c>
      <c r="B20">
        <f>A20/MaxScore*100</f>
        <v>83.75</v>
      </c>
    </row>
    <row r="21" spans="1:2">
      <c r="A21">
        <v>63</v>
      </c>
      <c r="B21">
        <f>A21/MaxScore*100</f>
        <v>78.75</v>
      </c>
    </row>
    <row r="22" spans="1:2">
      <c r="A22">
        <v>62</v>
      </c>
      <c r="B22">
        <f>A22/MaxScore*100</f>
        <v>77.5</v>
      </c>
    </row>
    <row r="23" spans="1:2">
      <c r="A23">
        <v>62</v>
      </c>
      <c r="B23">
        <f>A23/MaxScore*100</f>
        <v>77.5</v>
      </c>
    </row>
    <row r="24" spans="1:2">
      <c r="A24">
        <v>61</v>
      </c>
      <c r="B24">
        <f>A24/MaxScore*100</f>
        <v>76.25</v>
      </c>
    </row>
    <row r="25" spans="1:2">
      <c r="A25">
        <v>61</v>
      </c>
      <c r="B25">
        <f>A25/MaxScore*100</f>
        <v>76.25</v>
      </c>
    </row>
    <row r="26" spans="1:2">
      <c r="A26">
        <v>60</v>
      </c>
      <c r="B26">
        <f>A26/MaxScore*100</f>
        <v>75</v>
      </c>
    </row>
    <row r="27" spans="1:2">
      <c r="A27">
        <v>60</v>
      </c>
      <c r="B27">
        <f>A27/MaxScore*100</f>
        <v>75</v>
      </c>
    </row>
    <row r="28" spans="1:2">
      <c r="A28">
        <v>60</v>
      </c>
      <c r="B28">
        <f>A28/MaxScore*100</f>
        <v>75</v>
      </c>
    </row>
    <row r="29" spans="1:2">
      <c r="A29">
        <v>59</v>
      </c>
      <c r="B29">
        <f>A29/MaxScore*100</f>
        <v>73.75</v>
      </c>
    </row>
    <row r="30" spans="1:2">
      <c r="A30">
        <v>59</v>
      </c>
      <c r="B30">
        <f>A30/MaxScore*100</f>
        <v>73.75</v>
      </c>
    </row>
    <row r="31" spans="1:2">
      <c r="A31">
        <v>59</v>
      </c>
      <c r="B31">
        <f>A31/MaxScore*100</f>
        <v>73.75</v>
      </c>
    </row>
    <row r="32" spans="1:2">
      <c r="A32">
        <v>58</v>
      </c>
      <c r="B32">
        <f>A32/MaxScore*100</f>
        <v>72.5</v>
      </c>
    </row>
    <row r="33" spans="1:2">
      <c r="A33">
        <v>58</v>
      </c>
      <c r="B33">
        <f>A33/MaxScore*100</f>
        <v>72.5</v>
      </c>
    </row>
    <row r="34" spans="1:2">
      <c r="A34">
        <v>53</v>
      </c>
      <c r="B34">
        <f>A34/MaxScore*100</f>
        <v>66.25</v>
      </c>
    </row>
    <row r="35" spans="1:2">
      <c r="A35">
        <v>50</v>
      </c>
      <c r="B35">
        <f>A35/MaxScore*100</f>
        <v>62.5</v>
      </c>
    </row>
    <row r="36" spans="1:2">
      <c r="A36">
        <v>49</v>
      </c>
      <c r="B36">
        <f>A36/MaxScore*100</f>
        <v>61.250000000000007</v>
      </c>
    </row>
    <row r="37" spans="1:2">
      <c r="A37">
        <v>46</v>
      </c>
      <c r="B37">
        <f>A37/MaxScore*100</f>
        <v>57.499999999999993</v>
      </c>
    </row>
    <row r="38" spans="1:2">
      <c r="A38">
        <v>46</v>
      </c>
      <c r="B38">
        <f>A38/MaxScore*100</f>
        <v>57.499999999999993</v>
      </c>
    </row>
    <row r="39" spans="1:2">
      <c r="A39">
        <v>46</v>
      </c>
      <c r="B39">
        <f>A39/MaxScore*100</f>
        <v>57.499999999999993</v>
      </c>
    </row>
  </sheetData>
  <sortState xmlns:xlrd2="http://schemas.microsoft.com/office/spreadsheetml/2017/richdata2" ref="A1:B40">
    <sortCondition descending="1" ref="A1:A4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242D-D037-4469-BCDA-C24443E2A579}">
  <dimension ref="A1:D40"/>
  <sheetViews>
    <sheetView workbookViewId="0">
      <selection activeCell="D17" sqref="D17"/>
    </sheetView>
  </sheetViews>
  <sheetFormatPr defaultRowHeight="14.5"/>
  <cols>
    <col min="3" max="3" width="12.453125" bestFit="1" customWidth="1"/>
    <col min="4" max="4" width="14.26953125" bestFit="1" customWidth="1"/>
  </cols>
  <sheetData>
    <row r="1" spans="1:4">
      <c r="A1" t="s">
        <v>90</v>
      </c>
    </row>
    <row r="2" spans="1:4">
      <c r="A2" s="3" t="s">
        <v>91</v>
      </c>
      <c r="C2" s="4" t="s">
        <v>95</v>
      </c>
      <c r="D2" t="s">
        <v>97</v>
      </c>
    </row>
    <row r="3" spans="1:4">
      <c r="A3" s="3" t="s">
        <v>92</v>
      </c>
      <c r="C3" s="5" t="s">
        <v>93</v>
      </c>
      <c r="D3" s="6">
        <v>0.28205128205128205</v>
      </c>
    </row>
    <row r="4" spans="1:4">
      <c r="A4" s="3" t="s">
        <v>93</v>
      </c>
      <c r="C4" s="5" t="s">
        <v>94</v>
      </c>
      <c r="D4" s="6">
        <v>0.23076923076923078</v>
      </c>
    </row>
    <row r="5" spans="1:4">
      <c r="A5" s="3" t="s">
        <v>94</v>
      </c>
      <c r="C5" s="5" t="s">
        <v>92</v>
      </c>
      <c r="D5" s="6">
        <v>0.33333333333333331</v>
      </c>
    </row>
    <row r="6" spans="1:4">
      <c r="A6" s="3" t="s">
        <v>92</v>
      </c>
      <c r="C6" s="5" t="s">
        <v>91</v>
      </c>
      <c r="D6" s="6">
        <v>0.15384615384615385</v>
      </c>
    </row>
    <row r="7" spans="1:4">
      <c r="A7" s="3" t="s">
        <v>93</v>
      </c>
      <c r="C7" s="5" t="s">
        <v>96</v>
      </c>
      <c r="D7" s="6">
        <v>1</v>
      </c>
    </row>
    <row r="8" spans="1:4">
      <c r="A8" s="3" t="s">
        <v>91</v>
      </c>
    </row>
    <row r="9" spans="1:4">
      <c r="A9" s="3" t="s">
        <v>91</v>
      </c>
    </row>
    <row r="10" spans="1:4">
      <c r="A10" s="3" t="s">
        <v>92</v>
      </c>
    </row>
    <row r="11" spans="1:4">
      <c r="A11" s="3" t="s">
        <v>91</v>
      </c>
    </row>
    <row r="12" spans="1:4">
      <c r="A12" s="3" t="s">
        <v>92</v>
      </c>
    </row>
    <row r="13" spans="1:4">
      <c r="A13" s="3" t="s">
        <v>93</v>
      </c>
    </row>
    <row r="14" spans="1:4">
      <c r="A14" s="3" t="s">
        <v>91</v>
      </c>
    </row>
    <row r="15" spans="1:4">
      <c r="A15" s="3" t="s">
        <v>92</v>
      </c>
    </row>
    <row r="16" spans="1:4">
      <c r="A16" s="3" t="s">
        <v>92</v>
      </c>
    </row>
    <row r="17" spans="1:1">
      <c r="A17" s="3" t="s">
        <v>92</v>
      </c>
    </row>
    <row r="18" spans="1:1">
      <c r="A18" s="3" t="s">
        <v>91</v>
      </c>
    </row>
    <row r="19" spans="1:1">
      <c r="A19" s="3" t="s">
        <v>94</v>
      </c>
    </row>
    <row r="20" spans="1:1">
      <c r="A20" s="3" t="s">
        <v>93</v>
      </c>
    </row>
    <row r="21" spans="1:1">
      <c r="A21" s="3" t="s">
        <v>92</v>
      </c>
    </row>
    <row r="22" spans="1:1">
      <c r="A22" s="3" t="s">
        <v>92</v>
      </c>
    </row>
    <row r="23" spans="1:1">
      <c r="A23" s="3" t="s">
        <v>94</v>
      </c>
    </row>
    <row r="24" spans="1:1">
      <c r="A24" s="3" t="s">
        <v>92</v>
      </c>
    </row>
    <row r="25" spans="1:1">
      <c r="A25" s="3" t="s">
        <v>92</v>
      </c>
    </row>
    <row r="26" spans="1:1">
      <c r="A26" s="3" t="s">
        <v>94</v>
      </c>
    </row>
    <row r="27" spans="1:1">
      <c r="A27" s="3" t="s">
        <v>94</v>
      </c>
    </row>
    <row r="28" spans="1:1">
      <c r="A28" s="3" t="s">
        <v>93</v>
      </c>
    </row>
    <row r="29" spans="1:1">
      <c r="A29" s="3" t="s">
        <v>92</v>
      </c>
    </row>
    <row r="30" spans="1:1">
      <c r="A30" s="3" t="s">
        <v>93</v>
      </c>
    </row>
    <row r="31" spans="1:1">
      <c r="A31" s="3" t="s">
        <v>92</v>
      </c>
    </row>
    <row r="32" spans="1:1">
      <c r="A32" s="3" t="s">
        <v>94</v>
      </c>
    </row>
    <row r="33" spans="1:1">
      <c r="A33" s="3" t="s">
        <v>94</v>
      </c>
    </row>
    <row r="34" spans="1:1">
      <c r="A34" s="3" t="s">
        <v>94</v>
      </c>
    </row>
    <row r="35" spans="1:1">
      <c r="A35" s="3" t="s">
        <v>93</v>
      </c>
    </row>
    <row r="36" spans="1:1">
      <c r="A36" s="3" t="s">
        <v>93</v>
      </c>
    </row>
    <row r="37" spans="1:1">
      <c r="A37" s="3" t="s">
        <v>93</v>
      </c>
    </row>
    <row r="38" spans="1:1">
      <c r="A38" s="3" t="s">
        <v>93</v>
      </c>
    </row>
    <row r="39" spans="1:1">
      <c r="A39" s="3" t="s">
        <v>94</v>
      </c>
    </row>
    <row r="40" spans="1:1">
      <c r="A40" s="3" t="s">
        <v>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aadoradorLab4</vt:lpstr>
      <vt:lpstr>Pivot Table</vt:lpstr>
      <vt:lpstr>Totals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Angeline Adorador</dc:creator>
  <cp:lastModifiedBy>Adorador, Angeline</cp:lastModifiedBy>
  <dcterms:created xsi:type="dcterms:W3CDTF">2025-11-03T22:21:50Z</dcterms:created>
  <dcterms:modified xsi:type="dcterms:W3CDTF">2025-11-04T05:45:25Z</dcterms:modified>
</cp:coreProperties>
</file>